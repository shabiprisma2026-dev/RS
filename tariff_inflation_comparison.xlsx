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شاخص تورم" sheetId="1" state="visible" r:id="rId3"/>
    <sheet name="مقایسه ردیف‌ها" sheetId="2" state="visible" r:id="rId4"/>
    <sheet name="مقایسه جمع ک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<sst xmlns="http://schemas.openxmlformats.org/spreadsheetml/2006/main" count="68" uniqueCount="64">
  <si>
    <t xml:space="preserve">ماه</t>
  </si>
  <si>
    <r>
      <rPr>
        <b val="true"/>
        <sz val="11"/>
        <color rgb="FFFFFFFF"/>
        <rFont val="FreeSans"/>
        <family val="2"/>
      </rPr>
      <t xml:space="preserve">شاخص قیمت مصرف‌کننده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کل کشور، مرکز آمار</t>
    </r>
    <r>
      <rPr>
        <b val="true"/>
        <sz val="11"/>
        <color rgb="FFFFFFFF"/>
        <rFont val="Vazirmatn"/>
        <family val="0"/>
        <charset val="1"/>
      </rPr>
      <t xml:space="preserve">)</t>
    </r>
  </si>
  <si>
    <t xml:space="preserve">توضیح</t>
  </si>
  <si>
    <t xml:space="preserve">مهر ۱۴۰۳</t>
  </si>
  <si>
    <r>
      <rPr>
        <sz val="11"/>
        <color theme="1"/>
        <rFont val="FreeSans"/>
        <family val="2"/>
      </rPr>
      <t xml:space="preserve">آغاز دوره‌ی تعرفه‌ی شش‌ماهه‌ی دوم ۱۴۰۳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فایل اکسل</t>
    </r>
    <r>
      <rPr>
        <sz val="11"/>
        <color theme="1"/>
        <rFont val="Calibri"/>
        <family val="2"/>
        <charset val="1"/>
      </rPr>
      <t xml:space="preserve">)</t>
    </r>
  </si>
  <si>
    <t xml:space="preserve">فروردین ۱۴۰۴</t>
  </si>
  <si>
    <t xml:space="preserve">آغاز سال تعرفه‌ی ۱۴۰۴</t>
  </si>
  <si>
    <t xml:space="preserve">فروردین ۱۴۰۵</t>
  </si>
  <si>
    <t xml:space="preserve">شهریور ۱۴۰۵</t>
  </si>
  <si>
    <t xml:space="preserve">آخرین ماه منتشرشده؛ تورم نقطه‌به‌نقطه ۸۹٫۸٪ و ماهانه ۴٫۲٪</t>
  </si>
  <si>
    <r>
      <rPr>
        <sz val="11"/>
        <color theme="1"/>
        <rFont val="FreeSans"/>
        <family val="2"/>
      </rPr>
      <t xml:space="preserve">ضریب تورم ۱۴۰۳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مهر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تا شهریور ۱۴۰۵</t>
    </r>
  </si>
  <si>
    <r>
      <rPr>
        <sz val="11"/>
        <color theme="1"/>
        <rFont val="FreeSans"/>
        <family val="2"/>
      </rPr>
      <t xml:space="preserve">ضریب تورم ۱۴۰۴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فروردین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تا شهریور ۱۴۰۵</t>
    </r>
  </si>
  <si>
    <t xml:space="preserve">افزایش مبنای پروپوزال نسبت به تعرفه‌ی ۱۴۰۴</t>
  </si>
  <si>
    <r>
      <rPr>
        <sz val="11"/>
        <color theme="1"/>
        <rFont val="FreeSans"/>
        <family val="2"/>
      </rPr>
      <t xml:space="preserve">منابع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مرکز آمار ایران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گزارش‌های رسانه‌ای شاخص خانوارهای کشور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مهر ۱۴۰۳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۲۷۱٫۸؛ فروردین ۱۴۰۴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۳۲۸٫۱؛ فروردین ۱۴۰۵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۵۶۹٫۳؛ شهریور ۱۴۰۵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۷۲۹٫۸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سلول‌های آبی ورودی‌اند و قابل تغییر</t>
    </r>
    <r>
      <rPr>
        <sz val="11"/>
        <color theme="1"/>
        <rFont val="Calibri"/>
        <family val="2"/>
        <charset val="1"/>
      </rPr>
      <t xml:space="preserve">.</t>
    </r>
  </si>
  <si>
    <t xml:space="preserve">ردیف</t>
  </si>
  <si>
    <t xml:space="preserve">شرح</t>
  </si>
  <si>
    <r>
      <rPr>
        <b val="true"/>
        <sz val="11"/>
        <color rgb="FFFFFFFF"/>
        <rFont val="FreeSans"/>
        <family val="2"/>
      </rPr>
      <t xml:space="preserve">تعرفه ۱۴۰۳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ش۲</t>
    </r>
    <r>
      <rPr>
        <b val="true"/>
        <sz val="11"/>
        <color rgb="FFFFFFFF"/>
        <rFont val="Vazirmatn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</si>
  <si>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۱۴۰۳ </t>
    </r>
    <r>
      <rPr>
        <b val="true"/>
        <sz val="11"/>
        <color rgb="FFFFFFFF"/>
        <rFont val="Vazirmatn"/>
        <family val="0"/>
        <charset val="1"/>
      </rPr>
      <t xml:space="preserve">× </t>
    </r>
    <r>
      <rPr>
        <b val="true"/>
        <sz val="11"/>
        <color rgb="FFFFFFFF"/>
        <rFont val="FreeSans"/>
        <family val="2"/>
      </rPr>
      <t xml:space="preserve">تورم تا امروز</t>
    </r>
  </si>
  <si>
    <t xml:space="preserve">تعرفه ۱۴۰۴</t>
  </si>
  <si>
    <r>
      <rPr>
        <b val="true"/>
        <sz val="11"/>
        <color rgb="FFFFFFFF"/>
        <rFont val="FreeSans"/>
        <family val="2"/>
      </rPr>
      <t xml:space="preserve">۱۴۰۴ </t>
    </r>
    <r>
      <rPr>
        <b val="true"/>
        <sz val="11"/>
        <color rgb="FFFFFFFF"/>
        <rFont val="Vazirmatn"/>
        <family val="0"/>
        <charset val="1"/>
      </rPr>
      <t xml:space="preserve">× </t>
    </r>
    <r>
      <rPr>
        <b val="true"/>
        <sz val="11"/>
        <color rgb="FFFFFFFF"/>
        <rFont val="FreeSans"/>
        <family val="2"/>
      </rPr>
      <t xml:space="preserve">۱٫۳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پروپوزال</t>
    </r>
    <r>
      <rPr>
        <b val="true"/>
        <sz val="11"/>
        <color rgb="FFFFFFFF"/>
        <rFont val="Vazirmatn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</si>
  <si>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۱۴۰۴ </t>
    </r>
    <r>
      <rPr>
        <b val="true"/>
        <sz val="11"/>
        <color rgb="FFFFFFFF"/>
        <rFont val="Vazirmatn"/>
        <family val="0"/>
        <charset val="1"/>
      </rPr>
      <t xml:space="preserve">× </t>
    </r>
    <r>
      <rPr>
        <b val="true"/>
        <sz val="11"/>
        <color rgb="FFFFFFFF"/>
        <rFont val="FreeSans"/>
        <family val="2"/>
      </rPr>
      <t xml:space="preserve">تورم تا امروز</t>
    </r>
  </si>
  <si>
    <t xml:space="preserve">نسبت ۱۴۰۴ به ۱۴۰۳</t>
  </si>
  <si>
    <t xml:space="preserve">نسبت پروپوزال به ۱۴۰۳ تورم‌یافته</t>
  </si>
  <si>
    <t xml:space="preserve">020901</t>
  </si>
  <si>
    <r>
      <rPr>
        <sz val="11"/>
        <color theme="1"/>
        <rFont val="FreeSans"/>
        <family val="2"/>
      </rPr>
      <t xml:space="preserve">کنترل میدانی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اکیپ‌روز، ۴ نفر؛ بدون </t>
    </r>
    <r>
      <rPr>
        <sz val="11"/>
        <color theme="1"/>
        <rFont val="Calibri"/>
        <family val="2"/>
        <charset val="1"/>
      </rPr>
      <t xml:space="preserve">n1)</t>
    </r>
  </si>
  <si>
    <t xml:space="preserve">020102</t>
  </si>
  <si>
    <r>
      <rPr>
        <sz val="11"/>
        <color theme="1"/>
        <rFont val="FreeSans"/>
        <family val="2"/>
      </rPr>
      <t xml:space="preserve">خودرو دوکابین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روز</t>
    </r>
    <r>
      <rPr>
        <sz val="11"/>
        <color theme="1"/>
        <rFont val="Calibri"/>
        <family val="2"/>
        <charset val="1"/>
      </rPr>
      <t xml:space="preserve">)</t>
    </r>
  </si>
  <si>
    <t xml:space="preserve">020201</t>
  </si>
  <si>
    <r>
      <rPr>
        <sz val="11"/>
        <color theme="1"/>
        <rFont val="FreeSans"/>
        <family val="2"/>
      </rPr>
      <t xml:space="preserve">اسکان و تجهیز محل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روز؛ شامل تغذیه</t>
    </r>
    <r>
      <rPr>
        <sz val="11"/>
        <color theme="1"/>
        <rFont val="Calibri"/>
        <family val="2"/>
        <charset val="1"/>
      </rPr>
      <t xml:space="preserve">)</t>
    </r>
  </si>
  <si>
    <t xml:space="preserve">020101</t>
  </si>
  <si>
    <r>
      <rPr>
        <sz val="11"/>
        <color theme="1"/>
        <rFont val="FreeSans"/>
        <family val="2"/>
      </rPr>
      <t xml:space="preserve">اعزام اولیه اکیپ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هر بار</t>
    </r>
    <r>
      <rPr>
        <sz val="11"/>
        <color theme="1"/>
        <rFont val="Calibri"/>
        <family val="2"/>
        <charset val="1"/>
      </rPr>
      <t xml:space="preserve">)</t>
    </r>
  </si>
  <si>
    <t xml:space="preserve">010401</t>
  </si>
  <si>
    <r>
      <rPr>
        <sz val="11"/>
        <color theme="1"/>
        <rFont val="FreeSans"/>
        <family val="2"/>
      </rPr>
      <t xml:space="preserve">سازماندهی و طراحی عملیات صحرایی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۱۰۰ </t>
    </r>
    <r>
      <rPr>
        <sz val="11"/>
        <color theme="1"/>
        <rFont val="Calibri"/>
        <family val="2"/>
        <charset val="1"/>
      </rPr>
      <t xml:space="preserve">km²)</t>
    </r>
  </si>
  <si>
    <t xml:space="preserve">010501</t>
  </si>
  <si>
    <t xml:space="preserve">مطالعه گزارش‌ها و انتقال اطلاعات</t>
  </si>
  <si>
    <t xml:space="preserve">061601</t>
  </si>
  <si>
    <r>
      <rPr>
        <sz val="11"/>
        <color theme="1"/>
        <rFont val="FreeSans"/>
        <family val="2"/>
      </rPr>
      <t xml:space="preserve">پایگاه داده </t>
    </r>
    <r>
      <rPr>
        <sz val="11"/>
        <color theme="1"/>
        <rFont val="Calibri"/>
        <family val="2"/>
        <charset val="1"/>
      </rPr>
      <t xml:space="preserve">GIS </t>
    </r>
    <r>
      <rPr>
        <sz val="11"/>
        <color theme="1"/>
        <rFont val="FreeSans"/>
        <family val="2"/>
      </rPr>
      <t xml:space="preserve">فاز شناسایی</t>
    </r>
  </si>
  <si>
    <t xml:space="preserve">0601xx</t>
  </si>
  <si>
    <r>
      <rPr>
        <sz val="11"/>
        <color theme="1"/>
        <rFont val="FreeSans"/>
        <family val="2"/>
      </rPr>
      <t xml:space="preserve">هر یک از ردیف‌های تحلیل داده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۷ ردیف</t>
    </r>
    <r>
      <rPr>
        <sz val="11"/>
        <color theme="1"/>
        <rFont val="Calibri"/>
        <family val="2"/>
        <charset val="1"/>
      </rPr>
      <t xml:space="preserve">)</t>
    </r>
  </si>
  <si>
    <t xml:space="preserve">060108</t>
  </si>
  <si>
    <r>
      <rPr>
        <sz val="11"/>
        <color theme="1"/>
        <rFont val="FreeSans"/>
        <family val="2"/>
      </rPr>
      <t xml:space="preserve">شرح خدمات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طرح توجیهی اکتشاف</t>
    </r>
  </si>
  <si>
    <t xml:space="preserve">061301</t>
  </si>
  <si>
    <t xml:space="preserve">گزارش پایانی فاز اکتشافی</t>
  </si>
  <si>
    <r>
      <rPr>
        <sz val="11"/>
        <color theme="1"/>
        <rFont val="FreeSans"/>
        <family val="2"/>
      </rPr>
      <t xml:space="preserve">یادداشت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واحد ریال تعرفه‌ها به میلیون تومان تبدیل شده است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ردیف ۰۶۰۱۰۵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رادیومتری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در فایل ۱۴۰۳ نظیر مستقیم ندارد؛ ردیف‌های ۰۶۰۱</t>
    </r>
    <r>
      <rPr>
        <sz val="11"/>
        <color theme="1"/>
        <rFont val="Calibri"/>
        <family val="2"/>
        <charset val="1"/>
      </rPr>
      <t xml:space="preserve">xx </t>
    </r>
    <r>
      <rPr>
        <sz val="11"/>
        <color theme="1"/>
        <rFont val="FreeSans"/>
        <family val="2"/>
      </rPr>
      <t xml:space="preserve">در هر دو سال با هم برابرند</t>
    </r>
    <r>
      <rPr>
        <sz val="11"/>
        <color theme="1"/>
        <rFont val="Calibri"/>
        <family val="2"/>
        <charset val="1"/>
      </rPr>
      <t xml:space="preserve">.</t>
    </r>
  </si>
  <si>
    <t xml:space="preserve">سناریو</t>
  </si>
  <si>
    <t xml:space="preserve">مبنای نرخ</t>
  </si>
  <si>
    <t xml:space="preserve">ضریب</t>
  </si>
  <si>
    <r>
      <rPr>
        <b val="true"/>
        <sz val="11"/>
        <color rgb="FFFFFFFF"/>
        <rFont val="FreeSans"/>
        <family val="2"/>
      </rPr>
      <t xml:space="preserve">دستمزد اکیپ‌روز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با </t>
    </r>
    <r>
      <rPr>
        <b val="true"/>
        <sz val="11"/>
        <color rgb="FFFFFFFF"/>
        <rFont val="Vazirmatn"/>
        <family val="0"/>
        <charset val="1"/>
      </rPr>
      <t xml:space="preserve">n1=</t>
    </r>
    <r>
      <rPr>
        <b val="true"/>
        <sz val="11"/>
        <color rgb="FFFFFFFF"/>
        <rFont val="FreeSans"/>
        <family val="2"/>
      </rPr>
      <t xml:space="preserve">۱٫۳۵۵</t>
    </r>
    <r>
      <rPr>
        <b val="true"/>
        <sz val="11"/>
        <color rgb="FFFFFFFF"/>
        <rFont val="Vazirmatn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</si>
  <si>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جمع اکیپ‌روز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دستمزد</t>
    </r>
    <r>
      <rPr>
        <b val="true"/>
        <sz val="11"/>
        <color rgb="FFFFFFFF"/>
        <rFont val="Vazirmatn"/>
        <family val="0"/>
        <charset val="1"/>
      </rPr>
      <t xml:space="preserve">+</t>
    </r>
    <r>
      <rPr>
        <b val="true"/>
        <sz val="11"/>
        <color rgb="FFFFFFFF"/>
        <rFont val="FreeSans"/>
        <family val="2"/>
      </rPr>
      <t xml:space="preserve">خودرو</t>
    </r>
    <r>
      <rPr>
        <b val="true"/>
        <sz val="11"/>
        <color rgb="FFFFFFFF"/>
        <rFont val="Vazirmatn"/>
        <family val="0"/>
        <charset val="1"/>
      </rPr>
      <t xml:space="preserve">+</t>
    </r>
    <r>
      <rPr>
        <b val="true"/>
        <sz val="11"/>
        <color rgb="FFFFFFFF"/>
        <rFont val="FreeSans"/>
        <family val="2"/>
      </rPr>
      <t xml:space="preserve">اسکان</t>
    </r>
    <r>
      <rPr>
        <b val="true"/>
        <sz val="11"/>
        <color rgb="FFFFFFFF"/>
        <rFont val="Vazirmatn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</si>
  <si>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جمع بخش میدانی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۱۵۳ اکیپ‌روز </t>
    </r>
    <r>
      <rPr>
        <b val="true"/>
        <sz val="11"/>
        <color rgb="FFFFFFFF"/>
        <rFont val="Vazirmatn"/>
        <family val="0"/>
        <charset val="1"/>
      </rPr>
      <t xml:space="preserve">+ </t>
    </r>
    <r>
      <rPr>
        <b val="true"/>
        <sz val="11"/>
        <color rgb="FFFFFFFF"/>
        <rFont val="FreeSans"/>
        <family val="2"/>
      </rPr>
      <t xml:space="preserve">۲ اعزام اولیه </t>
    </r>
    <r>
      <rPr>
        <b val="true"/>
        <sz val="11"/>
        <color rgb="FFFFFFFF"/>
        <rFont val="Vazirmatn"/>
        <family val="0"/>
        <charset val="1"/>
      </rPr>
      <t xml:space="preserve">+ </t>
    </r>
    <r>
      <rPr>
        <b val="true"/>
        <sz val="11"/>
        <color rgb="FFFFFFFF"/>
        <rFont val="FreeSans"/>
        <family val="2"/>
      </rPr>
      <t xml:space="preserve">۶ اعزام مجدد</t>
    </r>
    <r>
      <rPr>
        <b val="true"/>
        <sz val="11"/>
        <color rgb="FFFFFFFF"/>
        <rFont val="Vazirmatn"/>
        <family val="0"/>
        <charset val="1"/>
      </rPr>
      <t xml:space="preserve">)</t>
    </r>
  </si>
  <si>
    <t xml:space="preserve">ردیف ۰۱۰۱۰۱</t>
  </si>
  <si>
    <r>
      <rPr>
        <b val="true"/>
        <sz val="11"/>
        <color rgb="FFFFFFFF"/>
        <rFont val="FreeSans"/>
        <family val="2"/>
      </rPr>
      <t xml:space="preserve">ردیف‌های ستاره‌دار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۳۰٪</t>
    </r>
    <r>
      <rPr>
        <b val="true"/>
        <sz val="11"/>
        <color rgb="FFFFFFFF"/>
        <rFont val="Vazirmatn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</si>
  <si>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جمع کل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میلیون تومان</t>
    </r>
    <r>
      <rPr>
        <b val="true"/>
        <sz val="11"/>
        <color rgb="FFFFFFFF"/>
        <rFont val="Vazirmatn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</si>
  <si>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جمع کل </t>
    </r>
    <r>
      <rPr>
        <b val="true"/>
        <sz val="11"/>
        <color rgb="FFFFFFFF"/>
        <rFont val="Vazirmatn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میلیارد تومان</t>
    </r>
    <r>
      <rPr>
        <b val="true"/>
        <sz val="11"/>
        <color rgb="FFFFFFFF"/>
        <rFont val="Vazirmatn"/>
        <family val="0"/>
        <charset val="1"/>
      </rPr>
      <t xml:space="preserve">)</t>
    </r>
  </si>
  <si>
    <t xml:space="preserve">نسبت به پروپوزال</t>
  </si>
  <si>
    <r>
      <rPr>
        <sz val="11"/>
        <color theme="1"/>
        <rFont val="FreeSans"/>
        <family val="2"/>
      </rPr>
      <t xml:space="preserve">۱۴۰۳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ش۲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بدون تورم</t>
    </r>
  </si>
  <si>
    <t xml:space="preserve">تعرفه</t>
  </si>
  <si>
    <r>
      <rPr>
        <sz val="11"/>
        <color theme="1"/>
        <rFont val="FreeSans"/>
        <family val="2"/>
      </rPr>
      <t xml:space="preserve">۱۴۰۳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ش۲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</rPr>
      <t xml:space="preserve">تورم تا شهریور ۱۴۰۵</t>
    </r>
  </si>
  <si>
    <t xml:space="preserve">۱۴۰۴ بدون افزایش</t>
  </si>
  <si>
    <r>
      <rPr>
        <sz val="11"/>
        <color theme="1"/>
        <rFont val="FreeSans"/>
        <family val="2"/>
      </rPr>
      <t xml:space="preserve">۱۴۰۴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FreeSans"/>
        <family val="2"/>
      </rPr>
      <t xml:space="preserve">۱٫۳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پروپوزال فعلی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</si>
  <si>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۱۴۰۴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FreeSans"/>
        <family val="2"/>
      </rPr>
      <t xml:space="preserve">تورم تا شهریور ۱۴۰۵</t>
    </r>
  </si>
  <si>
    <r>
      <rPr>
        <sz val="11"/>
        <color theme="1"/>
        <rFont val="FreeSans"/>
        <family val="2"/>
      </rPr>
      <t xml:space="preserve">روش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همه‌ی سناریوها با همان ساختار پروپوزال حساب شده‌اند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۱۵۳ اکیپ‌روز، </t>
    </r>
    <r>
      <rPr>
        <sz val="11"/>
        <color theme="1"/>
        <rFont val="Calibri"/>
        <family val="2"/>
        <charset val="1"/>
      </rPr>
      <t xml:space="preserve">n1 = </t>
    </r>
    <r>
      <rPr>
        <sz val="11"/>
        <color theme="1"/>
        <rFont val="FreeSans"/>
        <family val="2"/>
      </rPr>
      <t xml:space="preserve">۱٫۳۵۵ روی ردیف ۰۲۰۹۰۱، ردیف‌های ستاره‌دار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۳۰٪ کل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بند ۳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۶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، ردیف ۰۱۰۱۰۱ از فرمول فصل اول با </t>
    </r>
    <r>
      <rPr>
        <sz val="11"/>
        <color theme="1"/>
        <rFont val="Calibri"/>
        <family val="2"/>
        <charset val="1"/>
      </rPr>
      <t xml:space="preserve">p1 </t>
    </r>
    <r>
      <rPr>
        <sz val="11"/>
        <color theme="1"/>
        <rFont val="FreeSans"/>
        <family val="2"/>
      </rPr>
      <t xml:space="preserve">منفی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</si>
  <si>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مبلغ اعزام مجدد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۱۵۰ میلیون در پروپوزال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متناسب با ردیف ۰۲۰۱۰۱ هر سناریو تغییر داده شده است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غذا در ردیف اسکان لحاظ است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</si>
  <si>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سناریوی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FreeSans"/>
        <family val="2"/>
      </rPr>
      <t xml:space="preserve">فقط برای مقایسه‌اند و تورم را ندارند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تورم تا شهریور ۱۴۰۵ با شاخص قیمت مصرف‌کننده‌ی مرکز آمار حساب شده است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</si>
</sst>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0"/>
    <numFmt numFmtId="167" formatCode="0.00"/>
    <numFmt numFmtId="168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FreeSans"/>
      <family val="2"/>
    </font>
    <font>
      <b val="true"/>
      <sz val="11"/>
      <color rgb="FFFFFFFF"/>
      <name val="Vazirmatn"/>
      <family val="0"/>
      <charset val="1"/>
    </font>
    <font>
      <sz val="11"/>
      <color theme="1"/>
      <name val="FreeSans"/>
      <family val="2"/>
    </font>
    <font>
      <sz val="11"/>
      <color rgb="FF0000FF"/>
      <name val="Vazirmat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6B66"/>
        <bgColor rgb="FF008080"/>
      </patternFill>
    </fill>
    <fill>
      <patternFill patternType="solid">
        <fgColor rgb="FFF3E3DC"/>
        <bgColor rgb="FFD3D8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8D5"/>
      </left>
      <right style="thin">
        <color rgb="FFD3D8D5"/>
      </right>
      <top style="thin">
        <color rgb="FFD3D8D5"/>
      </top>
      <bottom style="thin">
        <color rgb="FFD3D8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B66"/>
      <rgbColor rgb="FFC0C0C0"/>
      <rgbColor rgb="FF808080"/>
      <rgbColor rgb="FF9999FF"/>
      <rgbColor rgb="FF993366"/>
      <rgbColor rgb="FFF3E3DC"/>
      <rgbColor rgb="FFCCFFFF"/>
      <rgbColor rgb="FF660066"/>
      <rgbColor rgb="FFFF8080"/>
      <rgbColor rgb="FF0066CC"/>
      <rgbColor rgb="FFD3D8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271.8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n">
        <v>328.1</v>
      </c>
      <c r="C3" s="2" t="s">
        <v>6</v>
      </c>
    </row>
    <row r="4" customFormat="false" ht="15" hidden="false" customHeight="false" outlineLevel="0" collapsed="false">
      <c r="A4" s="2" t="s">
        <v>7</v>
      </c>
      <c r="B4" s="3" t="n">
        <v>569.3</v>
      </c>
    </row>
    <row r="5" customFormat="false" ht="15" hidden="false" customHeight="false" outlineLevel="0" collapsed="false">
      <c r="A5" s="2" t="s">
        <v>8</v>
      </c>
      <c r="B5" s="3" t="n">
        <v>729.8</v>
      </c>
      <c r="C5" s="2" t="s">
        <v>9</v>
      </c>
    </row>
    <row r="7" customFormat="false" ht="15" hidden="false" customHeight="false" outlineLevel="0" collapsed="false">
      <c r="A7" s="2" t="s">
        <v>10</v>
      </c>
      <c r="B7" s="4" t="n">
        <f aca="false">B5/B2</f>
        <v>2.6850625459897</v>
      </c>
    </row>
    <row r="8" customFormat="false" ht="15" hidden="false" customHeight="false" outlineLevel="0" collapsed="false">
      <c r="A8" s="2" t="s">
        <v>11</v>
      </c>
      <c r="B8" s="4" t="n">
        <f aca="false">B5/B3</f>
        <v>2.22432185309357</v>
      </c>
    </row>
    <row r="9" customFormat="false" ht="15" hidden="false" customHeight="false" outlineLevel="0" collapsed="false">
      <c r="A9" s="2" t="s">
        <v>12</v>
      </c>
      <c r="B9" s="5" t="n">
        <v>1.3</v>
      </c>
    </row>
    <row r="11" customFormat="false" ht="15" hidden="false" customHeight="false" outlineLevel="0" collapsed="false">
      <c r="A1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3.8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customFormat="false" ht="15" hidden="false" customHeight="false" outlineLevel="0" collapsed="false">
      <c r="A2" s="0" t="s">
        <v>23</v>
      </c>
      <c r="B2" s="2" t="s">
        <v>24</v>
      </c>
      <c r="C2" s="6" t="n">
        <v>18.4</v>
      </c>
      <c r="D2" s="7" t="n">
        <f aca="false">C2*'شاخص تورم'!$B$7</f>
        <v>49.4051508462104</v>
      </c>
      <c r="E2" s="6" t="n">
        <v>39.8</v>
      </c>
      <c r="F2" s="7" t="n">
        <f aca="false">E2*'شاخص تورم'!$B$9</f>
        <v>51.74</v>
      </c>
      <c r="G2" s="7" t="n">
        <f aca="false">E2*'شاخص تورم'!$B$8</f>
        <v>88.528009753124</v>
      </c>
      <c r="H2" s="8" t="n">
        <f aca="false">E2/C2</f>
        <v>2.16304347826087</v>
      </c>
      <c r="I2" s="8" t="n">
        <f aca="false">F2/D2</f>
        <v>1.04725922527911</v>
      </c>
    </row>
    <row r="3" customFormat="false" ht="15" hidden="false" customHeight="false" outlineLevel="0" collapsed="false">
      <c r="A3" s="0" t="s">
        <v>25</v>
      </c>
      <c r="B3" s="2" t="s">
        <v>26</v>
      </c>
      <c r="C3" s="6" t="n">
        <v>11.28</v>
      </c>
      <c r="D3" s="7" t="n">
        <f aca="false">C3*'شاخص تورم'!$B$7</f>
        <v>30.2875055187638</v>
      </c>
      <c r="E3" s="6" t="n">
        <v>14.1</v>
      </c>
      <c r="F3" s="7" t="n">
        <f aca="false">E3*'شاخص تورم'!$B$9</f>
        <v>18.33</v>
      </c>
      <c r="G3" s="7" t="n">
        <f aca="false">E3*'شاخص تورم'!$B$8</f>
        <v>31.3629381286193</v>
      </c>
      <c r="H3" s="8" t="n">
        <f aca="false">E3/C3</f>
        <v>1.25</v>
      </c>
      <c r="I3" s="8" t="n">
        <f aca="false">F3/D3</f>
        <v>0.605200054809537</v>
      </c>
    </row>
    <row r="4" customFormat="false" ht="15" hidden="false" customHeight="false" outlineLevel="0" collapsed="false">
      <c r="A4" s="0" t="s">
        <v>27</v>
      </c>
      <c r="B4" s="2" t="s">
        <v>28</v>
      </c>
      <c r="C4" s="6" t="n">
        <v>11.85</v>
      </c>
      <c r="D4" s="7" t="n">
        <f aca="false">C4*'شاخص تورم'!$B$7</f>
        <v>31.8179911699779</v>
      </c>
      <c r="E4" s="6" t="n">
        <v>13.4</v>
      </c>
      <c r="F4" s="7" t="n">
        <f aca="false">E4*'شاخص تورم'!$B$9</f>
        <v>17.42</v>
      </c>
      <c r="G4" s="7" t="n">
        <f aca="false">E4*'شاخص تورم'!$B$8</f>
        <v>29.8059128314538</v>
      </c>
      <c r="H4" s="8" t="n">
        <f aca="false">E4/C4</f>
        <v>1.13080168776371</v>
      </c>
      <c r="I4" s="8" t="n">
        <f aca="false">F4/D4</f>
        <v>0.547488994730653</v>
      </c>
    </row>
    <row r="5" customFormat="false" ht="15" hidden="false" customHeight="false" outlineLevel="0" collapsed="false">
      <c r="A5" s="0" t="s">
        <v>29</v>
      </c>
      <c r="B5" s="2" t="s">
        <v>30</v>
      </c>
      <c r="C5" s="6" t="n">
        <v>25</v>
      </c>
      <c r="D5" s="7" t="n">
        <f aca="false">C5*'شاخص تورم'!$B$7</f>
        <v>67.1265636497425</v>
      </c>
      <c r="E5" s="6" t="n">
        <v>35.25</v>
      </c>
      <c r="F5" s="7" t="n">
        <f aca="false">E5*'شاخص تورم'!$B$9</f>
        <v>45.825</v>
      </c>
      <c r="G5" s="7" t="n">
        <f aca="false">E5*'شاخص تورم'!$B$8</f>
        <v>78.4073453215483</v>
      </c>
      <c r="H5" s="8" t="n">
        <f aca="false">E5/C5</f>
        <v>1.41</v>
      </c>
      <c r="I5" s="8" t="n">
        <f aca="false">F5/D5</f>
        <v>0.682665661825158</v>
      </c>
    </row>
    <row r="6" customFormat="false" ht="15" hidden="false" customHeight="false" outlineLevel="0" collapsed="false">
      <c r="A6" s="0" t="s">
        <v>31</v>
      </c>
      <c r="B6" s="2" t="s">
        <v>32</v>
      </c>
      <c r="C6" s="6" t="n">
        <v>59</v>
      </c>
      <c r="D6" s="7" t="n">
        <f aca="false">C6*'شاخص تورم'!$B$7</f>
        <v>158.418690213392</v>
      </c>
      <c r="E6" s="6" t="n">
        <v>43</v>
      </c>
      <c r="F6" s="7" t="n">
        <f aca="false">E6*'شاخص تورم'!$B$9</f>
        <v>55.9</v>
      </c>
      <c r="G6" s="7" t="n">
        <f aca="false">E6*'شاخص تورم'!$B$8</f>
        <v>95.6458396830235</v>
      </c>
      <c r="H6" s="8" t="n">
        <f aca="false">E6/C6</f>
        <v>0.728813559322034</v>
      </c>
      <c r="I6" s="8" t="n">
        <f aca="false">F6/D6</f>
        <v>0.352862404838103</v>
      </c>
    </row>
    <row r="7" customFormat="false" ht="15" hidden="false" customHeight="false" outlineLevel="0" collapsed="false">
      <c r="A7" s="0" t="s">
        <v>33</v>
      </c>
      <c r="B7" s="2" t="s">
        <v>34</v>
      </c>
      <c r="C7" s="6" t="n">
        <v>42.5</v>
      </c>
      <c r="D7" s="7" t="n">
        <f aca="false">C7*'شاخص تورم'!$B$7</f>
        <v>114.115158204562</v>
      </c>
      <c r="E7" s="6" t="n">
        <v>60.1</v>
      </c>
      <c r="F7" s="7" t="n">
        <f aca="false">E7*'شاخص تورم'!$B$9</f>
        <v>78.13</v>
      </c>
      <c r="G7" s="7" t="n">
        <f aca="false">E7*'شاخص تورم'!$B$8</f>
        <v>133.681743370924</v>
      </c>
      <c r="H7" s="8" t="n">
        <f aca="false">E7/C7</f>
        <v>1.41411764705882</v>
      </c>
      <c r="I7" s="8" t="n">
        <f aca="false">F7/D7</f>
        <v>0.684659262005707</v>
      </c>
    </row>
    <row r="8" customFormat="false" ht="15" hidden="false" customHeight="false" outlineLevel="0" collapsed="false">
      <c r="A8" s="0" t="s">
        <v>35</v>
      </c>
      <c r="B8" s="2" t="s">
        <v>36</v>
      </c>
      <c r="C8" s="6" t="n">
        <v>82</v>
      </c>
      <c r="D8" s="7" t="n">
        <f aca="false">C8*'شاخص تورم'!$B$7</f>
        <v>220.175128771155</v>
      </c>
      <c r="E8" s="6" t="n">
        <v>115.55</v>
      </c>
      <c r="F8" s="7" t="n">
        <f aca="false">E8*'شاخص تورم'!$B$9</f>
        <v>150.215</v>
      </c>
      <c r="G8" s="7" t="n">
        <f aca="false">E8*'شاخص تورم'!$B$8</f>
        <v>257.020390124962</v>
      </c>
      <c r="H8" s="8" t="n">
        <f aca="false">E8/C8</f>
        <v>1.40914634146341</v>
      </c>
      <c r="I8" s="8" t="n">
        <f aca="false">F8/D8</f>
        <v>0.682252354470654</v>
      </c>
    </row>
    <row r="9" customFormat="false" ht="15" hidden="false" customHeight="false" outlineLevel="0" collapsed="false">
      <c r="A9" s="0" t="s">
        <v>37</v>
      </c>
      <c r="B9" s="2" t="s">
        <v>38</v>
      </c>
      <c r="C9" s="6" t="n">
        <v>79</v>
      </c>
      <c r="D9" s="7" t="n">
        <f aca="false">C9*'شاخص تورم'!$B$7</f>
        <v>212.119941133186</v>
      </c>
      <c r="E9" s="6" t="n">
        <v>111.4</v>
      </c>
      <c r="F9" s="7" t="n">
        <f aca="false">E9*'شاخص تورم'!$B$9</f>
        <v>144.82</v>
      </c>
      <c r="G9" s="7" t="n">
        <f aca="false">E9*'شاخص تورم'!$B$8</f>
        <v>247.789454434624</v>
      </c>
      <c r="H9" s="8" t="n">
        <f aca="false">E9/C9</f>
        <v>1.41012658227848</v>
      </c>
      <c r="I9" s="8" t="n">
        <f aca="false">F9/D9</f>
        <v>0.682726947906657</v>
      </c>
    </row>
    <row r="10" customFormat="false" ht="15" hidden="false" customHeight="false" outlineLevel="0" collapsed="false">
      <c r="A10" s="0" t="s">
        <v>39</v>
      </c>
      <c r="B10" s="2" t="s">
        <v>40</v>
      </c>
      <c r="C10" s="6" t="n">
        <v>100</v>
      </c>
      <c r="D10" s="7" t="n">
        <f aca="false">C10*'شاخص تورم'!$B$7</f>
        <v>268.50625459897</v>
      </c>
      <c r="E10" s="6" t="n">
        <v>152.9</v>
      </c>
      <c r="F10" s="7" t="n">
        <f aca="false">E10*'شاخص تورم'!$B$9</f>
        <v>198.77</v>
      </c>
      <c r="G10" s="7" t="n">
        <f aca="false">E10*'شاخص تورم'!$B$8</f>
        <v>340.098811338007</v>
      </c>
      <c r="H10" s="8" t="n">
        <f aca="false">E10/C10</f>
        <v>1.529</v>
      </c>
      <c r="I10" s="8" t="n">
        <f aca="false">F10/D10</f>
        <v>0.740280707043026</v>
      </c>
    </row>
    <row r="11" customFormat="false" ht="15" hidden="false" customHeight="false" outlineLevel="0" collapsed="false">
      <c r="A11" s="0" t="s">
        <v>41</v>
      </c>
      <c r="B11" s="2" t="s">
        <v>42</v>
      </c>
      <c r="C11" s="6" t="n">
        <v>101</v>
      </c>
      <c r="D11" s="7" t="n">
        <f aca="false">C11*'شاخص تورم'!$B$7</f>
        <v>271.19131714496</v>
      </c>
      <c r="E11" s="6" t="n">
        <v>141.9</v>
      </c>
      <c r="F11" s="7" t="n">
        <f aca="false">E11*'شاخص تورم'!$B$9</f>
        <v>184.47</v>
      </c>
      <c r="G11" s="7" t="n">
        <f aca="false">E11*'شاخص تورم'!$B$8</f>
        <v>315.631270953977</v>
      </c>
      <c r="H11" s="8" t="n">
        <f aca="false">E11/C11</f>
        <v>1.40495049504951</v>
      </c>
      <c r="I11" s="8" t="n">
        <f aca="false">F11/D11</f>
        <v>0.680220893286917</v>
      </c>
    </row>
    <row r="13" customFormat="false" ht="15" hidden="false" customHeight="false" outlineLevel="0" collapsed="false">
      <c r="A13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10" min="8" style="0" width="16"/>
    <col collapsed="false" customWidth="true" hidden="false" outlineLevel="0" max="11" min="11" style="0" width="14"/>
  </cols>
  <sheetData>
    <row r="1" customFormat="false" ht="60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customFormat="false" ht="15" hidden="false" customHeight="false" outlineLevel="0" collapsed="false">
      <c r="A2" s="2" t="s">
        <v>55</v>
      </c>
      <c r="B2" s="2" t="s">
        <v>56</v>
      </c>
      <c r="C2" s="0" t="n">
        <v>1</v>
      </c>
      <c r="D2" s="9" t="n">
        <v>24.93</v>
      </c>
      <c r="E2" s="9" t="n">
        <v>48.06</v>
      </c>
      <c r="F2" s="9" t="n">
        <v>7894.5</v>
      </c>
      <c r="G2" s="9" t="n">
        <v>112.1</v>
      </c>
      <c r="H2" s="9" t="n">
        <v>4467.1</v>
      </c>
      <c r="I2" s="9" t="n">
        <v>14890.3</v>
      </c>
      <c r="J2" s="8" t="n">
        <f aca="false">I2/1000</f>
        <v>14.8903</v>
      </c>
      <c r="K2" s="8" t="n">
        <f aca="false">I2/$I$5</f>
        <v>0.509437577192436</v>
      </c>
    </row>
    <row r="3" customFormat="false" ht="15" hidden="false" customHeight="false" outlineLevel="0" collapsed="false">
      <c r="A3" s="2" t="s">
        <v>57</v>
      </c>
      <c r="B3" s="2" t="s">
        <v>56</v>
      </c>
      <c r="C3" s="0" t="n">
        <v>2.685</v>
      </c>
      <c r="D3" s="9" t="n">
        <v>66.94</v>
      </c>
      <c r="E3" s="9" t="n">
        <v>129.05</v>
      </c>
      <c r="F3" s="9" t="n">
        <v>21197.2</v>
      </c>
      <c r="G3" s="9" t="n">
        <v>300.9</v>
      </c>
      <c r="H3" s="9" t="n">
        <v>11994.4</v>
      </c>
      <c r="I3" s="9" t="n">
        <v>39981.3</v>
      </c>
      <c r="J3" s="8" t="n">
        <f aca="false">I3/1000</f>
        <v>39.9813</v>
      </c>
      <c r="K3" s="8" t="n">
        <f aca="false">I3/$I$5</f>
        <v>1.36786878739877</v>
      </c>
    </row>
    <row r="4" customFormat="false" ht="15" hidden="false" customHeight="false" outlineLevel="0" collapsed="false">
      <c r="A4" s="2" t="s">
        <v>58</v>
      </c>
      <c r="B4" s="2" t="s">
        <v>56</v>
      </c>
      <c r="C4" s="0" t="n">
        <v>1</v>
      </c>
      <c r="D4" s="9" t="n">
        <v>53.93</v>
      </c>
      <c r="E4" s="9" t="n">
        <v>81.43</v>
      </c>
      <c r="F4" s="9" t="n">
        <v>13221.4</v>
      </c>
      <c r="G4" s="9" t="n">
        <v>146</v>
      </c>
      <c r="H4" s="9" t="n">
        <v>6745.1</v>
      </c>
      <c r="I4" s="9" t="n">
        <v>22483.8</v>
      </c>
      <c r="J4" s="8" t="n">
        <f aca="false">I4/1000</f>
        <v>22.4838</v>
      </c>
      <c r="K4" s="8" t="n">
        <f aca="false">I4/$I$5</f>
        <v>0.769231821929665</v>
      </c>
    </row>
    <row r="5" customFormat="false" ht="15" hidden="false" customHeight="false" outlineLevel="0" collapsed="false">
      <c r="A5" s="10" t="s">
        <v>59</v>
      </c>
      <c r="B5" s="10" t="s">
        <v>56</v>
      </c>
      <c r="C5" s="10" t="n">
        <v>1.3</v>
      </c>
      <c r="D5" s="11" t="n">
        <v>70.11</v>
      </c>
      <c r="E5" s="11" t="n">
        <v>105.86</v>
      </c>
      <c r="F5" s="11" t="n">
        <v>17187.9</v>
      </c>
      <c r="G5" s="11" t="n">
        <v>189.7</v>
      </c>
      <c r="H5" s="11" t="n">
        <v>8768.7</v>
      </c>
      <c r="I5" s="11" t="n">
        <v>29228.9</v>
      </c>
      <c r="J5" s="12" t="n">
        <f aca="false">I5/1000</f>
        <v>29.2289</v>
      </c>
      <c r="K5" s="12" t="n">
        <f aca="false">I5/$I$5</f>
        <v>1</v>
      </c>
    </row>
    <row r="6" customFormat="false" ht="15" hidden="false" customHeight="false" outlineLevel="0" collapsed="false">
      <c r="A6" s="2" t="s">
        <v>60</v>
      </c>
      <c r="B6" s="2" t="s">
        <v>56</v>
      </c>
      <c r="C6" s="0" t="n">
        <v>2.224</v>
      </c>
      <c r="D6" s="9" t="n">
        <v>119.96</v>
      </c>
      <c r="E6" s="9" t="n">
        <v>181.12</v>
      </c>
      <c r="F6" s="9" t="n">
        <v>29408.7</v>
      </c>
      <c r="G6" s="9" t="n">
        <v>324.7</v>
      </c>
      <c r="H6" s="9" t="n">
        <v>15003.4</v>
      </c>
      <c r="I6" s="9" t="n">
        <v>50011.2</v>
      </c>
      <c r="J6" s="8" t="n">
        <f aca="false">I6/1000</f>
        <v>50.0112</v>
      </c>
      <c r="K6" s="8" t="n">
        <f aca="false">I6/$I$5</f>
        <v>1.71101888883947</v>
      </c>
    </row>
    <row r="8" customFormat="false" ht="15" hidden="false" customHeight="false" outlineLevel="0" collapsed="false">
      <c r="A8" s="2" t="s">
        <v>61</v>
      </c>
    </row>
    <row r="9" customFormat="false" ht="15" hidden="false" customHeight="false" outlineLevel="0" collapsed="false">
      <c r="A9" s="2" t="s">
        <v>62</v>
      </c>
    </row>
    <row r="10" customFormat="false" ht="15" hidden="false" customHeight="false" outlineLevel="0" collapsed="false">
      <c r="A10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2026-10-10T09:18:29Z</dcterms:created>
  <dc:creator>openpyxl</dc:creator>
  <dc:description/>
  <dc:language>en-US</dc:language>
  <cp:lastModifiedBy/>
  <dcterms:modified xsi:type="dcterms:W3CDTF">2026-10-10T09:18:29Z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